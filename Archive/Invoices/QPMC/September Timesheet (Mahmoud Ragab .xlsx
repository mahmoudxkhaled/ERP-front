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reelance\Dr Amer\"/>
    </mc:Choice>
  </mc:AlternateContent>
  <bookViews>
    <workbookView showHorizontalScroll="0" showVerticalScroll="0" showSheetTabs="0" xWindow="0" yWindow="0" windowWidth="28800" windowHeight="12180"/>
  </bookViews>
  <sheets>
    <sheet name="QPMC (Sep-25)" sheetId="3" r:id="rId1"/>
  </sheets>
  <definedNames>
    <definedName name="Categories">'QPMC (Sep-25)'!$E$14:$E$18</definedName>
    <definedName name="_xlnm.Print_Titles" localSheetId="0">'QPMC (Sep-25)'!$24:$25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3" l="1"/>
  <c r="J13" i="3" s="1"/>
  <c r="F13" i="3"/>
  <c r="H15" i="3" l="1"/>
  <c r="B41" i="3" l="1"/>
  <c r="J38" i="3"/>
  <c r="H18" i="3"/>
  <c r="J18" i="3" s="1"/>
  <c r="F18" i="3"/>
  <c r="H17" i="3"/>
  <c r="J17" i="3" s="1"/>
  <c r="F17" i="3"/>
  <c r="H16" i="3"/>
  <c r="J16" i="3" s="1"/>
  <c r="F16" i="3"/>
  <c r="J15" i="3"/>
  <c r="G15" i="3"/>
  <c r="F15" i="3"/>
  <c r="H14" i="3"/>
  <c r="J14" i="3" s="1"/>
  <c r="F14" i="3"/>
  <c r="G16" i="3" l="1"/>
  <c r="G17" i="3" s="1"/>
  <c r="G18" i="3" s="1"/>
  <c r="J19" i="3"/>
</calcChain>
</file>

<file path=xl/sharedStrings.xml><?xml version="1.0" encoding="utf-8"?>
<sst xmlns="http://schemas.openxmlformats.org/spreadsheetml/2006/main" count="87" uniqueCount="58">
  <si>
    <t>Date</t>
  </si>
  <si>
    <t>Project</t>
  </si>
  <si>
    <t>Task</t>
  </si>
  <si>
    <t>Sub-Task</t>
  </si>
  <si>
    <t>Hours</t>
  </si>
  <si>
    <t>Client:</t>
  </si>
  <si>
    <t>Invoice Details</t>
  </si>
  <si>
    <t>Summary:</t>
  </si>
  <si>
    <t>S/N</t>
  </si>
  <si>
    <t>Assigned to</t>
  </si>
  <si>
    <t>Month of Service</t>
  </si>
  <si>
    <t>Total hours</t>
  </si>
  <si>
    <t>Agreed rate</t>
  </si>
  <si>
    <t>Dr. Amer Fahmy</t>
  </si>
  <si>
    <t>Timesheet for:</t>
  </si>
  <si>
    <t>TOTAL HOURS</t>
  </si>
  <si>
    <t>Submitted by:</t>
  </si>
  <si>
    <t>Approved by:</t>
  </si>
  <si>
    <t>Software Development Services Invoice # 01 - Sep 2025</t>
  </si>
  <si>
    <t>Quantum PMC (Oman)</t>
  </si>
  <si>
    <t>Category</t>
  </si>
  <si>
    <t>Category Code</t>
  </si>
  <si>
    <t>Total
(EGP)</t>
  </si>
  <si>
    <t xml:space="preserve">Backend Development using ASP.Net </t>
  </si>
  <si>
    <t>Development using Angular Framework</t>
  </si>
  <si>
    <t>Angular</t>
  </si>
  <si>
    <t>Development using WPF framework</t>
  </si>
  <si>
    <t>WPF</t>
  </si>
  <si>
    <t>Webpages UI design (incl. CSS)</t>
  </si>
  <si>
    <t>UI</t>
  </si>
  <si>
    <t>Development Documentation Works</t>
  </si>
  <si>
    <t>Doc</t>
  </si>
  <si>
    <t>Services Timesheet - Sep 2025</t>
  </si>
  <si>
    <t>Eng. Mahmoud Ragab</t>
  </si>
  <si>
    <t>QPMC Website</t>
  </si>
  <si>
    <t>Angular 20  setup, routing, structure..</t>
  </si>
  <si>
    <t>Header, Footer, top bar info</t>
  </si>
  <si>
    <t>Home, About</t>
  </si>
  <si>
    <t>Services, Banner</t>
  </si>
  <si>
    <t>Project List, Project Details</t>
  </si>
  <si>
    <t>Careers, Contact Us</t>
  </si>
  <si>
    <t>Deployment on Namecheap</t>
  </si>
  <si>
    <t>Project Structre</t>
  </si>
  <si>
    <t>Creating Pages</t>
  </si>
  <si>
    <t>Code Review and UI Enhancement</t>
  </si>
  <si>
    <t>Learning and structure</t>
  </si>
  <si>
    <t>Reading and impementing Node Tech</t>
  </si>
  <si>
    <t>Integrated the frontend with the Node backend via APIs and testing it</t>
  </si>
  <si>
    <t>Integration</t>
  </si>
  <si>
    <t>Trying the emails credentials for backend and solving the issues of it</t>
  </si>
  <si>
    <t>Deploy front &amp; back and test [Production &amp; development]</t>
  </si>
  <si>
    <t>creating Node APIs and Test</t>
  </si>
  <si>
    <t>Node</t>
  </si>
  <si>
    <t>Backend Development using Node.js</t>
  </si>
  <si>
    <t>Asp</t>
  </si>
  <si>
    <t>Continue backend</t>
  </si>
  <si>
    <t>Review Pages and UI Enahance with last touch</t>
  </si>
  <si>
    <r>
      <t xml:space="preserve">The support services provided within the month of </t>
    </r>
    <r>
      <rPr>
        <sz val="11"/>
        <color theme="1"/>
        <rFont val="Calibri"/>
        <family val="2"/>
        <scheme val="minor"/>
      </rPr>
      <t xml:space="preserve">Sep-2025 were generally in relation to </t>
    </r>
    <r>
      <rPr>
        <sz val="11"/>
        <color rgb="FFFF0000"/>
        <rFont val="Calibri"/>
        <family val="2"/>
        <scheme val="minor"/>
      </rPr>
      <t>shifting the existing company website to Angular framework, and completing remaining website UI and backend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</si>
</sst>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0.0&quot; EGP/hr&quot;"/>
    <numFmt numFmtId="166" formatCode="#,##0.0"/>
    <numFmt numFmtId="167" formatCode="[$-409]d\-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indent="1"/>
    </xf>
    <xf numFmtId="0" fontId="5" fillId="0" borderId="0" xfId="0" applyFont="1" applyAlignment="1">
      <alignment horizontal="right" vertical="center" indent="1"/>
    </xf>
    <xf numFmtId="166" fontId="3" fillId="3" borderId="5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43" fontId="3" fillId="5" borderId="4" xfId="1" applyFont="1" applyFill="1" applyBorder="1" applyAlignment="1">
      <alignment vertical="center" wrapText="1"/>
    </xf>
    <xf numFmtId="1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vertical="center" wrapText="1" readingOrder="1"/>
    </xf>
    <xf numFmtId="43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6" fillId="5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inden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 indent="1"/>
    </xf>
    <xf numFmtId="165" fontId="0" fillId="6" borderId="1" xfId="0" applyNumberFormat="1" applyFill="1" applyBorder="1" applyAlignment="1">
      <alignment horizontal="center" vertical="center"/>
    </xf>
    <xf numFmtId="0" fontId="0" fillId="6" borderId="0" xfId="0" applyFill="1" applyBorder="1" applyAlignment="1">
      <alignment horizontal="left" vertical="center" wrapText="1" inden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41</xdr:row>
      <xdr:rowOff>24694</xdr:rowOff>
    </xdr:from>
    <xdr:to>
      <xdr:col>4</xdr:col>
      <xdr:colOff>314325</xdr:colOff>
      <xdr:row>43</xdr:row>
      <xdr:rowOff>20574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11549944"/>
          <a:ext cx="1266825" cy="376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41"/>
  <sheetViews>
    <sheetView tabSelected="1" topLeftCell="A7" zoomScaleNormal="100" workbookViewId="0">
      <selection activeCell="D10" sqref="D10"/>
    </sheetView>
  </sheetViews>
  <sheetFormatPr defaultRowHeight="15" x14ac:dyDescent="0.25"/>
  <cols>
    <col min="1" max="1" width="4.28515625" style="1" customWidth="1"/>
    <col min="2" max="2" width="6.85546875" style="5" customWidth="1"/>
    <col min="3" max="3" width="12.140625" style="3" customWidth="1"/>
    <col min="4" max="4" width="22.5703125" style="3" customWidth="1"/>
    <col min="5" max="5" width="12.140625" style="3" customWidth="1"/>
    <col min="6" max="6" width="21.28515625" style="3" customWidth="1"/>
    <col min="7" max="7" width="14.140625" style="3" customWidth="1"/>
    <col min="8" max="8" width="9" style="3" customWidth="1"/>
    <col min="9" max="9" width="12.42578125" style="3" bestFit="1" customWidth="1"/>
    <col min="10" max="10" width="14.42578125" style="4" customWidth="1"/>
    <col min="11" max="16384" width="9.140625" style="1"/>
  </cols>
  <sheetData>
    <row r="2" spans="1:10" ht="21" customHeight="1" x14ac:dyDescent="0.25">
      <c r="A2" s="39" t="s">
        <v>18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ht="18" customHeight="1" x14ac:dyDescent="0.25">
      <c r="B4" s="2" t="s">
        <v>5</v>
      </c>
      <c r="C4" s="3" t="s">
        <v>19</v>
      </c>
    </row>
    <row r="5" spans="1:10" ht="36" customHeight="1" x14ac:dyDescent="0.25"/>
    <row r="6" spans="1:10" ht="18.75" customHeight="1" x14ac:dyDescent="0.25">
      <c r="A6" s="32" t="s">
        <v>6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ht="12.75" customHeight="1" x14ac:dyDescent="0.25">
      <c r="A7" s="48"/>
      <c r="B7" s="49"/>
    </row>
    <row r="8" spans="1:10" ht="18" customHeight="1" x14ac:dyDescent="0.25">
      <c r="A8" s="48"/>
      <c r="B8" s="50" t="s">
        <v>7</v>
      </c>
      <c r="C8" s="47" t="s">
        <v>57</v>
      </c>
      <c r="D8" s="47"/>
      <c r="E8" s="47"/>
      <c r="F8" s="47"/>
      <c r="G8" s="47"/>
      <c r="H8" s="47"/>
      <c r="I8" s="47"/>
      <c r="J8" s="47"/>
    </row>
    <row r="9" spans="1:10" ht="18" customHeight="1" x14ac:dyDescent="0.25">
      <c r="A9" s="48"/>
      <c r="B9" s="50"/>
      <c r="C9" s="47"/>
      <c r="D9" s="47"/>
      <c r="E9" s="47"/>
      <c r="F9" s="47"/>
      <c r="G9" s="47"/>
      <c r="H9" s="47"/>
      <c r="I9" s="47"/>
      <c r="J9" s="47"/>
    </row>
    <row r="10" spans="1:10" ht="18" customHeight="1" x14ac:dyDescent="0.25"/>
    <row r="11" spans="1:10" ht="36.75" customHeight="1" x14ac:dyDescent="0.25">
      <c r="B11" s="6" t="s">
        <v>8</v>
      </c>
      <c r="C11" s="34" t="s">
        <v>20</v>
      </c>
      <c r="D11" s="35"/>
      <c r="E11" s="10" t="s">
        <v>21</v>
      </c>
      <c r="F11" s="6" t="s">
        <v>9</v>
      </c>
      <c r="G11" s="7" t="s">
        <v>10</v>
      </c>
      <c r="H11" s="7" t="s">
        <v>11</v>
      </c>
      <c r="I11" s="6" t="s">
        <v>12</v>
      </c>
      <c r="J11" s="7" t="s">
        <v>22</v>
      </c>
    </row>
    <row r="12" spans="1:10" ht="7.5" customHeight="1" x14ac:dyDescent="0.25">
      <c r="B12" s="8"/>
      <c r="C12" s="40"/>
      <c r="D12" s="41"/>
      <c r="E12" s="11"/>
      <c r="F12" s="8"/>
      <c r="G12" s="8"/>
      <c r="H12" s="8"/>
      <c r="I12" s="8"/>
      <c r="J12" s="8"/>
    </row>
    <row r="13" spans="1:10" ht="23.25" customHeight="1" x14ac:dyDescent="0.25">
      <c r="B13" s="14">
        <v>1</v>
      </c>
      <c r="C13" s="25" t="s">
        <v>23</v>
      </c>
      <c r="D13" s="25"/>
      <c r="E13" s="14" t="s">
        <v>54</v>
      </c>
      <c r="F13" s="18" t="str">
        <f t="shared" ref="F13:F18" si="0">$D$23</f>
        <v>Eng. Mahmoud Ragab</v>
      </c>
      <c r="G13" s="20">
        <v>45901</v>
      </c>
      <c r="H13" s="21">
        <f t="shared" ref="H13:H18" si="1">SUMIFS($J$26:$J$38,$C$26:$C$38,$E13)</f>
        <v>0</v>
      </c>
      <c r="I13" s="22">
        <v>275</v>
      </c>
      <c r="J13" s="23">
        <f>I13*H13</f>
        <v>0</v>
      </c>
    </row>
    <row r="14" spans="1:10" ht="23.25" customHeight="1" x14ac:dyDescent="0.25">
      <c r="B14" s="42">
        <v>2</v>
      </c>
      <c r="C14" s="43" t="s">
        <v>53</v>
      </c>
      <c r="D14" s="43"/>
      <c r="E14" s="14" t="s">
        <v>52</v>
      </c>
      <c r="F14" s="18" t="str">
        <f t="shared" si="0"/>
        <v>Eng. Mahmoud Ragab</v>
      </c>
      <c r="G14" s="20">
        <v>45901</v>
      </c>
      <c r="H14" s="21">
        <f t="shared" si="1"/>
        <v>17.5</v>
      </c>
      <c r="I14" s="46">
        <v>225</v>
      </c>
      <c r="J14" s="23">
        <f>I14*H14</f>
        <v>3937.5</v>
      </c>
    </row>
    <row r="15" spans="1:10" ht="23.25" customHeight="1" x14ac:dyDescent="0.25">
      <c r="B15" s="42">
        <v>3</v>
      </c>
      <c r="C15" s="25" t="s">
        <v>24</v>
      </c>
      <c r="D15" s="25"/>
      <c r="E15" s="14" t="s">
        <v>25</v>
      </c>
      <c r="F15" s="18" t="str">
        <f t="shared" si="0"/>
        <v>Eng. Mahmoud Ragab</v>
      </c>
      <c r="G15" s="20">
        <f>G14</f>
        <v>45901</v>
      </c>
      <c r="H15" s="21">
        <f t="shared" si="1"/>
        <v>26</v>
      </c>
      <c r="I15" s="22">
        <v>200</v>
      </c>
      <c r="J15" s="24">
        <f>I15*H15</f>
        <v>5200</v>
      </c>
    </row>
    <row r="16" spans="1:10" ht="23.25" customHeight="1" x14ac:dyDescent="0.25">
      <c r="B16" s="14">
        <v>4</v>
      </c>
      <c r="C16" s="25" t="s">
        <v>26</v>
      </c>
      <c r="D16" s="25"/>
      <c r="E16" s="14" t="s">
        <v>27</v>
      </c>
      <c r="F16" s="18" t="str">
        <f t="shared" si="0"/>
        <v>Eng. Mahmoud Ragab</v>
      </c>
      <c r="G16" s="20">
        <f>G15</f>
        <v>45901</v>
      </c>
      <c r="H16" s="21">
        <f t="shared" si="1"/>
        <v>0</v>
      </c>
      <c r="I16" s="22">
        <v>150</v>
      </c>
      <c r="J16" s="24">
        <f t="shared" ref="J16:J18" si="2">I16*H16</f>
        <v>0</v>
      </c>
    </row>
    <row r="17" spans="1:10" ht="23.25" customHeight="1" x14ac:dyDescent="0.25">
      <c r="B17" s="14">
        <v>5</v>
      </c>
      <c r="C17" s="25" t="s">
        <v>28</v>
      </c>
      <c r="D17" s="25"/>
      <c r="E17" s="14" t="s">
        <v>29</v>
      </c>
      <c r="F17" s="18" t="str">
        <f t="shared" si="0"/>
        <v>Eng. Mahmoud Ragab</v>
      </c>
      <c r="G17" s="20">
        <f>G16</f>
        <v>45901</v>
      </c>
      <c r="H17" s="21">
        <f t="shared" si="1"/>
        <v>0</v>
      </c>
      <c r="I17" s="22">
        <v>120</v>
      </c>
      <c r="J17" s="24">
        <f t="shared" si="2"/>
        <v>0</v>
      </c>
    </row>
    <row r="18" spans="1:10" ht="23.25" customHeight="1" x14ac:dyDescent="0.25">
      <c r="B18" s="14">
        <v>6</v>
      </c>
      <c r="C18" s="25" t="s">
        <v>30</v>
      </c>
      <c r="D18" s="25"/>
      <c r="E18" s="14" t="s">
        <v>31</v>
      </c>
      <c r="F18" s="18" t="str">
        <f t="shared" si="0"/>
        <v>Eng. Mahmoud Ragab</v>
      </c>
      <c r="G18" s="20">
        <f>G17</f>
        <v>45901</v>
      </c>
      <c r="H18" s="21">
        <f t="shared" si="1"/>
        <v>0</v>
      </c>
      <c r="I18" s="22">
        <v>100</v>
      </c>
      <c r="J18" s="24">
        <f t="shared" si="2"/>
        <v>0</v>
      </c>
    </row>
    <row r="19" spans="1:10" ht="23.25" customHeight="1" x14ac:dyDescent="0.25">
      <c r="J19" s="19">
        <f>SUM(J14:J18)</f>
        <v>9137.5</v>
      </c>
    </row>
    <row r="20" spans="1:10" ht="33" customHeight="1" x14ac:dyDescent="0.25"/>
    <row r="21" spans="1:10" ht="18.75" customHeight="1" x14ac:dyDescent="0.25">
      <c r="A21" s="32" t="s">
        <v>32</v>
      </c>
      <c r="B21" s="32"/>
      <c r="C21" s="32"/>
      <c r="D21" s="32"/>
      <c r="E21" s="32"/>
      <c r="F21" s="32"/>
      <c r="G21" s="32"/>
      <c r="H21" s="32"/>
      <c r="I21" s="32"/>
      <c r="J21" s="32"/>
    </row>
    <row r="22" spans="1:10" ht="8.25" customHeight="1" x14ac:dyDescent="0.25"/>
    <row r="23" spans="1:10" ht="18" customHeight="1" x14ac:dyDescent="0.25">
      <c r="B23" s="33" t="s">
        <v>14</v>
      </c>
      <c r="C23" s="33"/>
      <c r="D23" s="3" t="s">
        <v>33</v>
      </c>
      <c r="E23" s="12"/>
      <c r="F23" s="1"/>
    </row>
    <row r="24" spans="1:10" ht="15" customHeight="1" x14ac:dyDescent="0.25"/>
    <row r="25" spans="1:10" ht="29.25" customHeight="1" x14ac:dyDescent="0.25">
      <c r="B25" s="6" t="s">
        <v>0</v>
      </c>
      <c r="C25" s="7" t="s">
        <v>21</v>
      </c>
      <c r="D25" s="6" t="s">
        <v>1</v>
      </c>
      <c r="E25" s="34" t="s">
        <v>2</v>
      </c>
      <c r="F25" s="35"/>
      <c r="G25" s="36" t="s">
        <v>3</v>
      </c>
      <c r="H25" s="37"/>
      <c r="I25" s="38"/>
      <c r="J25" s="10" t="s">
        <v>4</v>
      </c>
    </row>
    <row r="26" spans="1:10" ht="21" customHeight="1" x14ac:dyDescent="0.25">
      <c r="B26" s="15">
        <v>45902</v>
      </c>
      <c r="C26" s="14" t="s">
        <v>25</v>
      </c>
      <c r="D26" s="14" t="s">
        <v>34</v>
      </c>
      <c r="E26" s="25" t="s">
        <v>42</v>
      </c>
      <c r="F26" s="25"/>
      <c r="G26" s="31" t="s">
        <v>35</v>
      </c>
      <c r="H26" s="31"/>
      <c r="I26" s="31"/>
      <c r="J26" s="14">
        <v>4</v>
      </c>
    </row>
    <row r="27" spans="1:10" ht="21" customHeight="1" x14ac:dyDescent="0.25">
      <c r="B27" s="15">
        <v>45903</v>
      </c>
      <c r="C27" s="14" t="s">
        <v>25</v>
      </c>
      <c r="D27" s="14" t="s">
        <v>34</v>
      </c>
      <c r="E27" s="25" t="s">
        <v>43</v>
      </c>
      <c r="F27" s="25"/>
      <c r="G27" s="31" t="s">
        <v>36</v>
      </c>
      <c r="H27" s="31"/>
      <c r="I27" s="31"/>
      <c r="J27" s="14">
        <v>4</v>
      </c>
    </row>
    <row r="28" spans="1:10" ht="21" customHeight="1" x14ac:dyDescent="0.25">
      <c r="B28" s="15">
        <v>45904</v>
      </c>
      <c r="C28" s="14" t="s">
        <v>25</v>
      </c>
      <c r="D28" s="14" t="s">
        <v>34</v>
      </c>
      <c r="E28" s="25" t="s">
        <v>43</v>
      </c>
      <c r="F28" s="25"/>
      <c r="G28" s="31" t="s">
        <v>37</v>
      </c>
      <c r="H28" s="31"/>
      <c r="I28" s="31"/>
      <c r="J28" s="14">
        <v>3</v>
      </c>
    </row>
    <row r="29" spans="1:10" ht="21" customHeight="1" x14ac:dyDescent="0.25">
      <c r="B29" s="15">
        <v>45905</v>
      </c>
      <c r="C29" s="16" t="s">
        <v>25</v>
      </c>
      <c r="D29" s="14" t="s">
        <v>34</v>
      </c>
      <c r="E29" s="25" t="s">
        <v>43</v>
      </c>
      <c r="F29" s="25"/>
      <c r="G29" s="31" t="s">
        <v>38</v>
      </c>
      <c r="H29" s="31"/>
      <c r="I29" s="31"/>
      <c r="J29" s="14">
        <v>4</v>
      </c>
    </row>
    <row r="30" spans="1:10" ht="21" customHeight="1" x14ac:dyDescent="0.25">
      <c r="B30" s="15">
        <v>45906</v>
      </c>
      <c r="C30" s="16" t="s">
        <v>25</v>
      </c>
      <c r="D30" s="14" t="s">
        <v>34</v>
      </c>
      <c r="E30" s="25" t="s">
        <v>43</v>
      </c>
      <c r="F30" s="25"/>
      <c r="G30" s="31" t="s">
        <v>39</v>
      </c>
      <c r="H30" s="31"/>
      <c r="I30" s="31"/>
      <c r="J30" s="14">
        <v>5</v>
      </c>
    </row>
    <row r="31" spans="1:10" ht="21" customHeight="1" x14ac:dyDescent="0.25">
      <c r="B31" s="15">
        <v>45907</v>
      </c>
      <c r="C31" s="16" t="s">
        <v>25</v>
      </c>
      <c r="D31" s="14" t="s">
        <v>34</v>
      </c>
      <c r="E31" s="25" t="s">
        <v>43</v>
      </c>
      <c r="F31" s="25"/>
      <c r="G31" s="31" t="s">
        <v>40</v>
      </c>
      <c r="H31" s="31"/>
      <c r="I31" s="31"/>
      <c r="J31" s="14">
        <v>3</v>
      </c>
    </row>
    <row r="32" spans="1:10" ht="34.5" customHeight="1" x14ac:dyDescent="0.25">
      <c r="B32" s="15">
        <v>45908</v>
      </c>
      <c r="C32" s="16" t="s">
        <v>25</v>
      </c>
      <c r="D32" s="14" t="s">
        <v>34</v>
      </c>
      <c r="E32" s="25" t="s">
        <v>44</v>
      </c>
      <c r="F32" s="25"/>
      <c r="G32" s="31" t="s">
        <v>56</v>
      </c>
      <c r="H32" s="31"/>
      <c r="I32" s="31"/>
      <c r="J32" s="14">
        <v>3</v>
      </c>
    </row>
    <row r="33" spans="2:10" ht="21" customHeight="1" x14ac:dyDescent="0.25">
      <c r="B33" s="15">
        <v>45910</v>
      </c>
      <c r="C33" s="16" t="s">
        <v>52</v>
      </c>
      <c r="D33" s="14" t="s">
        <v>34</v>
      </c>
      <c r="E33" s="25" t="s">
        <v>45</v>
      </c>
      <c r="F33" s="25"/>
      <c r="G33" s="45" t="s">
        <v>46</v>
      </c>
      <c r="H33" s="45"/>
      <c r="I33" s="45"/>
      <c r="J33" s="14">
        <v>5</v>
      </c>
    </row>
    <row r="34" spans="2:10" ht="21" customHeight="1" x14ac:dyDescent="0.25">
      <c r="B34" s="15">
        <v>45912</v>
      </c>
      <c r="C34" s="16" t="s">
        <v>52</v>
      </c>
      <c r="D34" s="14" t="s">
        <v>34</v>
      </c>
      <c r="E34" s="25" t="s">
        <v>55</v>
      </c>
      <c r="F34" s="25"/>
      <c r="G34" s="31" t="s">
        <v>51</v>
      </c>
      <c r="H34" s="31"/>
      <c r="I34" s="31"/>
      <c r="J34" s="14">
        <v>3.5</v>
      </c>
    </row>
    <row r="35" spans="2:10" ht="39" customHeight="1" x14ac:dyDescent="0.25">
      <c r="B35" s="15">
        <v>45913</v>
      </c>
      <c r="C35" s="14" t="s">
        <v>52</v>
      </c>
      <c r="D35" s="14" t="s">
        <v>34</v>
      </c>
      <c r="E35" s="31" t="s">
        <v>48</v>
      </c>
      <c r="F35" s="31"/>
      <c r="G35" s="31" t="s">
        <v>47</v>
      </c>
      <c r="H35" s="31"/>
      <c r="I35" s="31"/>
      <c r="J35" s="14">
        <v>2</v>
      </c>
    </row>
    <row r="36" spans="2:10" ht="33.75" customHeight="1" x14ac:dyDescent="0.25">
      <c r="B36" s="15">
        <v>45915</v>
      </c>
      <c r="C36" s="44" t="s">
        <v>52</v>
      </c>
      <c r="D36" s="14" t="s">
        <v>34</v>
      </c>
      <c r="E36" s="25" t="s">
        <v>41</v>
      </c>
      <c r="F36" s="25"/>
      <c r="G36" s="31" t="s">
        <v>50</v>
      </c>
      <c r="H36" s="31"/>
      <c r="I36" s="31"/>
      <c r="J36" s="17">
        <v>3</v>
      </c>
    </row>
    <row r="37" spans="2:10" ht="32.25" customHeight="1" x14ac:dyDescent="0.25">
      <c r="B37" s="15">
        <v>45916</v>
      </c>
      <c r="C37" s="16" t="s">
        <v>52</v>
      </c>
      <c r="D37" s="14" t="s">
        <v>34</v>
      </c>
      <c r="E37" s="25" t="s">
        <v>41</v>
      </c>
      <c r="F37" s="25"/>
      <c r="G37" s="31" t="s">
        <v>49</v>
      </c>
      <c r="H37" s="31"/>
      <c r="I37" s="31"/>
      <c r="J37" s="17">
        <v>4</v>
      </c>
    </row>
    <row r="38" spans="2:10" ht="22.5" customHeight="1" x14ac:dyDescent="0.25">
      <c r="B38" s="9"/>
      <c r="C38" s="28" t="s">
        <v>15</v>
      </c>
      <c r="D38" s="28"/>
      <c r="E38" s="28"/>
      <c r="F38" s="28"/>
      <c r="G38" s="28"/>
      <c r="H38" s="28"/>
      <c r="I38" s="28"/>
      <c r="J38" s="13">
        <f>SUM(J26:J37)</f>
        <v>43.5</v>
      </c>
    </row>
    <row r="39" spans="2:10" ht="27" customHeight="1" x14ac:dyDescent="0.25"/>
    <row r="40" spans="2:10" x14ac:dyDescent="0.25">
      <c r="B40" s="29" t="s">
        <v>16</v>
      </c>
      <c r="C40" s="29"/>
      <c r="D40" s="29"/>
      <c r="E40" s="29"/>
      <c r="F40" s="29"/>
      <c r="H40" s="30" t="s">
        <v>17</v>
      </c>
      <c r="I40" s="30"/>
      <c r="J40" s="30"/>
    </row>
    <row r="41" spans="2:10" ht="15.75" customHeight="1" x14ac:dyDescent="0.25">
      <c r="B41" s="26" t="str">
        <f>$D$23</f>
        <v>Eng. Mahmoud Ragab</v>
      </c>
      <c r="C41" s="26"/>
      <c r="D41" s="26"/>
      <c r="E41" s="26"/>
      <c r="F41" s="26"/>
      <c r="H41" s="27" t="s">
        <v>13</v>
      </c>
      <c r="I41" s="27"/>
      <c r="J41" s="27"/>
    </row>
  </sheetData>
  <mergeCells count="44">
    <mergeCell ref="C14:D14"/>
    <mergeCell ref="C15:D15"/>
    <mergeCell ref="C16:D16"/>
    <mergeCell ref="C17:D17"/>
    <mergeCell ref="A2:J2"/>
    <mergeCell ref="A6:J6"/>
    <mergeCell ref="C8:J9"/>
    <mergeCell ref="C11:D11"/>
    <mergeCell ref="C12:D12"/>
    <mergeCell ref="C18:D18"/>
    <mergeCell ref="A21:J21"/>
    <mergeCell ref="B23:C23"/>
    <mergeCell ref="E25:F25"/>
    <mergeCell ref="G25:I25"/>
    <mergeCell ref="E26:F26"/>
    <mergeCell ref="G26:I26"/>
    <mergeCell ref="E27:F27"/>
    <mergeCell ref="G27:I27"/>
    <mergeCell ref="E28:F28"/>
    <mergeCell ref="G28:I28"/>
    <mergeCell ref="E34:F34"/>
    <mergeCell ref="G34:I34"/>
    <mergeCell ref="E29:F29"/>
    <mergeCell ref="G29:I29"/>
    <mergeCell ref="E30:F30"/>
    <mergeCell ref="G30:I30"/>
    <mergeCell ref="E31:F31"/>
    <mergeCell ref="G31:I31"/>
    <mergeCell ref="C13:D13"/>
    <mergeCell ref="B41:F41"/>
    <mergeCell ref="H41:J41"/>
    <mergeCell ref="C38:I38"/>
    <mergeCell ref="B40:F40"/>
    <mergeCell ref="H40:J40"/>
    <mergeCell ref="E35:F35"/>
    <mergeCell ref="G35:I35"/>
    <mergeCell ref="E37:F37"/>
    <mergeCell ref="G37:I37"/>
    <mergeCell ref="E36:F36"/>
    <mergeCell ref="G36:I36"/>
    <mergeCell ref="E32:F32"/>
    <mergeCell ref="G32:I32"/>
    <mergeCell ref="E33:F33"/>
    <mergeCell ref="G33:I33"/>
  </mergeCells>
  <dataValidations count="1">
    <dataValidation type="list" allowBlank="1" showInputMessage="1" showErrorMessage="1" sqref="C26:C37">
      <formula1>Categories</formula1>
    </dataValidation>
  </dataValidations>
  <printOptions horizontalCentered="1" verticalCentered="1"/>
  <pageMargins left="0.51181102362204722" right="0.51181102362204722" top="0" bottom="0" header="0" footer="0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QPMC (Sep-25)</vt:lpstr>
      <vt:lpstr>Categories</vt:lpstr>
      <vt:lpstr>'QPMC (Sep-25)'!Print_Titles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Mahmoud Khaled</cp:lastModifiedBy>
  <cp:lastPrinted>2025-10-11T15:17:39Z</cp:lastPrinted>
  <dcterms:created xsi:type="dcterms:W3CDTF">2025-09-01T12:45:25Z</dcterms:created>
  <dcterms:modified xsi:type="dcterms:W3CDTF">2025-10-11T15:17:48Z</dcterms:modified>
</cp:coreProperties>
</file>