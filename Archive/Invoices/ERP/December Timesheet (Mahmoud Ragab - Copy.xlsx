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eelance\Dr Amer\Invoices\ERP\"/>
    </mc:Choice>
  </mc:AlternateContent>
  <bookViews>
    <workbookView showHorizontalScroll="0" showVerticalScroll="0" showSheetTabs="0" xWindow="0" yWindow="0" windowWidth="28800" windowHeight="12180"/>
  </bookViews>
  <sheets>
    <sheet name="QPMC (Sep-25)" sheetId="3" r:id="rId1"/>
  </sheets>
  <definedNames>
    <definedName name="Categories">'QPMC (Sep-25)'!$E$12:$E$16</definedName>
    <definedName name="_xlnm.Print_Titles" localSheetId="0">'QPMC (Sep-25)'!$22:$23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3" l="1"/>
  <c r="J11" i="3" s="1"/>
  <c r="F11" i="3"/>
  <c r="H13" i="3" l="1"/>
  <c r="B57" i="3" l="1"/>
  <c r="J54" i="3"/>
  <c r="H16" i="3"/>
  <c r="J16" i="3" s="1"/>
  <c r="F16" i="3"/>
  <c r="H15" i="3"/>
  <c r="J15" i="3" s="1"/>
  <c r="F15" i="3"/>
  <c r="H14" i="3"/>
  <c r="J14" i="3" s="1"/>
  <c r="F14" i="3"/>
  <c r="J13" i="3"/>
  <c r="F13" i="3"/>
  <c r="H12" i="3"/>
  <c r="J12" i="3" s="1"/>
  <c r="F12" i="3"/>
  <c r="J17" i="3" l="1"/>
</calcChain>
</file>

<file path=xl/sharedStrings.xml><?xml version="1.0" encoding="utf-8"?>
<sst xmlns="http://schemas.openxmlformats.org/spreadsheetml/2006/main" count="80" uniqueCount="51">
  <si>
    <t>Date</t>
  </si>
  <si>
    <t>Project</t>
  </si>
  <si>
    <t>Task</t>
  </si>
  <si>
    <t>Sub-Task</t>
  </si>
  <si>
    <t>Hours</t>
  </si>
  <si>
    <t>Client:</t>
  </si>
  <si>
    <t>Invoice Details</t>
  </si>
  <si>
    <t>Summary:</t>
  </si>
  <si>
    <t>S/N</t>
  </si>
  <si>
    <t>Assigned to</t>
  </si>
  <si>
    <t>Month of Service</t>
  </si>
  <si>
    <t>Total hours</t>
  </si>
  <si>
    <t>Agreed rate</t>
  </si>
  <si>
    <t>Dr. Amer Fahmy</t>
  </si>
  <si>
    <t>TOTAL HOURS</t>
  </si>
  <si>
    <t>Submitted by:</t>
  </si>
  <si>
    <t>Approved by:</t>
  </si>
  <si>
    <t>Software Development Services Invoice # 01 - Sep 2025</t>
  </si>
  <si>
    <t>Quantum PMC (Oman)</t>
  </si>
  <si>
    <t>Category</t>
  </si>
  <si>
    <t>Category Code</t>
  </si>
  <si>
    <t>Total
(EGP)</t>
  </si>
  <si>
    <t xml:space="preserve">Backend Development using ASP.Net </t>
  </si>
  <si>
    <t>Development using Angular Framework</t>
  </si>
  <si>
    <t>Angular</t>
  </si>
  <si>
    <t>Development using WPF framework</t>
  </si>
  <si>
    <t>WPF</t>
  </si>
  <si>
    <t>Webpages UI design (incl. CSS)</t>
  </si>
  <si>
    <t>UI</t>
  </si>
  <si>
    <t>Development Documentation Works</t>
  </si>
  <si>
    <t>Doc</t>
  </si>
  <si>
    <t>Services Timesheet - Sep 2025</t>
  </si>
  <si>
    <t>Eng. Mahmoud Ragab</t>
  </si>
  <si>
    <t>Creating Pages</t>
  </si>
  <si>
    <t>Node</t>
  </si>
  <si>
    <t>Backend Development using Node.js</t>
  </si>
  <si>
    <t>Asp</t>
  </si>
  <si>
    <t>ERP</t>
  </si>
  <si>
    <t>Using HTML and CSS to build a POC</t>
  </si>
  <si>
    <t>Creating Wireframes</t>
  </si>
  <si>
    <t>Creating the project</t>
  </si>
  <si>
    <t>Creating modules and components</t>
  </si>
  <si>
    <t xml:space="preserve">Continue converting the wireframes to angular </t>
  </si>
  <si>
    <t>Creating all modules and their components</t>
  </si>
  <si>
    <t>Building the structure of the project</t>
  </si>
  <si>
    <t>- Handling the routing of all pages
- Prepare static data for use in the demo
- Converting the wireframes to angular</t>
  </si>
  <si>
    <t>Continue converting the wireframes to angular and putting the last touch before submitting for approval</t>
  </si>
  <si>
    <t xml:space="preserve">Timesheet for: </t>
  </si>
  <si>
    <r>
      <t xml:space="preserve">The support services provided within the month of Nov-2025 were generally in relation to </t>
    </r>
    <r>
      <rPr>
        <sz val="11"/>
        <color rgb="FFFF0000"/>
        <rFont val="Calibri"/>
        <family val="2"/>
        <scheme val="minor"/>
      </rPr>
      <t>building the ERP system.</t>
    </r>
  </si>
  <si>
    <t>Working on notes</t>
  </si>
  <si>
    <t xml:space="preserve">- Make top bar as per notes
- Adding a settings of sidebar menu
- Apply those changes on mobile screen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</si>
</sst>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&quot; EGP/hr&quot;"/>
    <numFmt numFmtId="166" formatCode="#,##0.0"/>
    <numFmt numFmtId="167" formatCode="[$-409]d\-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indent="1"/>
    </xf>
    <xf numFmtId="166" fontId="3" fillId="3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43" fontId="3" fillId="5" borderId="4" xfId="1" applyFont="1" applyFill="1" applyBorder="1" applyAlignment="1">
      <alignment vertical="center" wrapText="1"/>
    </xf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 wrapText="1" readingOrder="1"/>
    </xf>
    <xf numFmtId="43" fontId="0" fillId="0" borderId="1" xfId="1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0" fillId="6" borderId="0" xfId="0" applyFill="1" applyBorder="1" applyAlignment="1">
      <alignment vertical="top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49" fontId="0" fillId="0" borderId="1" xfId="0" applyNumberForma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57</xdr:row>
      <xdr:rowOff>24694</xdr:rowOff>
    </xdr:from>
    <xdr:to>
      <xdr:col>4</xdr:col>
      <xdr:colOff>314324</xdr:colOff>
      <xdr:row>59</xdr:row>
      <xdr:rowOff>20574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11549944"/>
          <a:ext cx="1266825" cy="376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7"/>
  <sheetViews>
    <sheetView tabSelected="1" topLeftCell="A28" zoomScale="130" zoomScaleNormal="130" workbookViewId="0">
      <selection activeCell="G41" sqref="G41"/>
    </sheetView>
  </sheetViews>
  <sheetFormatPr defaultColWidth="9.109375" defaultRowHeight="14.4" x14ac:dyDescent="0.3"/>
  <cols>
    <col min="1" max="1" width="4.33203125" style="1" customWidth="1"/>
    <col min="2" max="2" width="10.109375" style="5" bestFit="1" customWidth="1"/>
    <col min="3" max="3" width="12.109375" style="3" customWidth="1"/>
    <col min="4" max="4" width="22.5546875" style="3" customWidth="1"/>
    <col min="5" max="5" width="12.109375" style="3" customWidth="1"/>
    <col min="6" max="6" width="21.33203125" style="3" customWidth="1"/>
    <col min="7" max="7" width="14.109375" style="3" customWidth="1"/>
    <col min="8" max="8" width="9" style="3" customWidth="1"/>
    <col min="9" max="9" width="13" style="3" customWidth="1"/>
    <col min="10" max="10" width="14.44140625" style="4" customWidth="1"/>
    <col min="11" max="16384" width="9.109375" style="1"/>
  </cols>
  <sheetData>
    <row r="2" spans="1:10" ht="21" customHeight="1" x14ac:dyDescent="0.3">
      <c r="A2" s="38" t="s">
        <v>17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18" customHeight="1" x14ac:dyDescent="0.3">
      <c r="B4" s="2" t="s">
        <v>5</v>
      </c>
      <c r="C4" s="3" t="s">
        <v>18</v>
      </c>
    </row>
    <row r="5" spans="1:10" ht="14.4" customHeight="1" x14ac:dyDescent="0.3"/>
    <row r="6" spans="1:10" ht="18.75" customHeight="1" x14ac:dyDescent="0.3">
      <c r="A6" s="39" t="s">
        <v>6</v>
      </c>
      <c r="B6" s="39"/>
      <c r="C6" s="39"/>
      <c r="D6" s="39"/>
      <c r="E6" s="39"/>
      <c r="F6" s="39"/>
      <c r="G6" s="39"/>
      <c r="H6" s="39"/>
      <c r="I6" s="39"/>
      <c r="J6" s="39"/>
    </row>
    <row r="7" spans="1:10" ht="12.75" customHeight="1" x14ac:dyDescent="0.3">
      <c r="A7" s="24"/>
      <c r="B7" s="25"/>
    </row>
    <row r="8" spans="1:10" ht="18" customHeight="1" x14ac:dyDescent="0.3">
      <c r="A8" s="24"/>
      <c r="B8" s="26" t="s">
        <v>7</v>
      </c>
      <c r="C8" s="42" t="s">
        <v>48</v>
      </c>
      <c r="D8" s="42"/>
      <c r="E8" s="42"/>
      <c r="F8" s="42"/>
      <c r="G8" s="42"/>
      <c r="H8" s="42"/>
      <c r="I8" s="42"/>
      <c r="J8" s="42"/>
    </row>
    <row r="9" spans="1:10" ht="18" customHeight="1" x14ac:dyDescent="0.3">
      <c r="A9" s="24"/>
      <c r="B9" s="26"/>
      <c r="C9" s="27"/>
      <c r="D9" s="27"/>
      <c r="E9" s="27"/>
      <c r="F9" s="27"/>
      <c r="G9" s="27"/>
      <c r="H9" s="27"/>
      <c r="I9" s="27"/>
      <c r="J9" s="27"/>
    </row>
    <row r="10" spans="1:10" ht="36.75" customHeight="1" x14ac:dyDescent="0.3">
      <c r="B10" s="6" t="s">
        <v>8</v>
      </c>
      <c r="C10" s="40" t="s">
        <v>19</v>
      </c>
      <c r="D10" s="41"/>
      <c r="E10" s="9" t="s">
        <v>20</v>
      </c>
      <c r="F10" s="6" t="s">
        <v>9</v>
      </c>
      <c r="G10" s="7" t="s">
        <v>10</v>
      </c>
      <c r="H10" s="7" t="s">
        <v>11</v>
      </c>
      <c r="I10" s="6" t="s">
        <v>12</v>
      </c>
      <c r="J10" s="7" t="s">
        <v>21</v>
      </c>
    </row>
    <row r="11" spans="1:10" ht="23.25" customHeight="1" x14ac:dyDescent="0.3">
      <c r="B11" s="12">
        <v>1</v>
      </c>
      <c r="C11" s="37" t="s">
        <v>22</v>
      </c>
      <c r="D11" s="37"/>
      <c r="E11" s="12" t="s">
        <v>36</v>
      </c>
      <c r="F11" s="15" t="str">
        <f t="shared" ref="F11:F16" si="0">$D$21</f>
        <v>Eng. Mahmoud Ragab</v>
      </c>
      <c r="G11" s="17">
        <v>45962</v>
      </c>
      <c r="H11" s="18">
        <f t="shared" ref="H11:H16" si="1">SUMIFS($J$24:$J$54,$C$24:$C$54,$E11)</f>
        <v>0</v>
      </c>
      <c r="I11" s="19">
        <v>275</v>
      </c>
      <c r="J11" s="20">
        <f>I11*H11</f>
        <v>0</v>
      </c>
    </row>
    <row r="12" spans="1:10" ht="23.25" customHeight="1" x14ac:dyDescent="0.3">
      <c r="B12" s="22">
        <v>2</v>
      </c>
      <c r="C12" s="36" t="s">
        <v>35</v>
      </c>
      <c r="D12" s="36"/>
      <c r="E12" s="12" t="s">
        <v>34</v>
      </c>
      <c r="F12" s="15" t="str">
        <f t="shared" si="0"/>
        <v>Eng. Mahmoud Ragab</v>
      </c>
      <c r="G12" s="17">
        <v>45962</v>
      </c>
      <c r="H12" s="18">
        <f t="shared" si="1"/>
        <v>0</v>
      </c>
      <c r="I12" s="23">
        <v>225</v>
      </c>
      <c r="J12" s="20">
        <f>I12*H12</f>
        <v>0</v>
      </c>
    </row>
    <row r="13" spans="1:10" ht="23.25" customHeight="1" x14ac:dyDescent="0.3">
      <c r="B13" s="22">
        <v>3</v>
      </c>
      <c r="C13" s="37" t="s">
        <v>23</v>
      </c>
      <c r="D13" s="37"/>
      <c r="E13" s="12" t="s">
        <v>24</v>
      </c>
      <c r="F13" s="15" t="str">
        <f t="shared" si="0"/>
        <v>Eng. Mahmoud Ragab</v>
      </c>
      <c r="G13" s="17">
        <v>45962</v>
      </c>
      <c r="H13" s="18">
        <f t="shared" si="1"/>
        <v>50</v>
      </c>
      <c r="I13" s="19">
        <v>200</v>
      </c>
      <c r="J13" s="21">
        <f>I13*H13</f>
        <v>10000</v>
      </c>
    </row>
    <row r="14" spans="1:10" ht="23.25" customHeight="1" x14ac:dyDescent="0.3">
      <c r="B14" s="12">
        <v>4</v>
      </c>
      <c r="C14" s="37" t="s">
        <v>25</v>
      </c>
      <c r="D14" s="37"/>
      <c r="E14" s="12" t="s">
        <v>26</v>
      </c>
      <c r="F14" s="15" t="str">
        <f t="shared" si="0"/>
        <v>Eng. Mahmoud Ragab</v>
      </c>
      <c r="G14" s="17">
        <v>45962</v>
      </c>
      <c r="H14" s="18">
        <f t="shared" si="1"/>
        <v>0</v>
      </c>
      <c r="I14" s="19">
        <v>150</v>
      </c>
      <c r="J14" s="21">
        <f t="shared" ref="J14:J16" si="2">I14*H14</f>
        <v>0</v>
      </c>
    </row>
    <row r="15" spans="1:10" ht="23.25" customHeight="1" x14ac:dyDescent="0.3">
      <c r="B15" s="12">
        <v>5</v>
      </c>
      <c r="C15" s="37" t="s">
        <v>27</v>
      </c>
      <c r="D15" s="37"/>
      <c r="E15" s="12" t="s">
        <v>28</v>
      </c>
      <c r="F15" s="15" t="str">
        <f t="shared" si="0"/>
        <v>Eng. Mahmoud Ragab</v>
      </c>
      <c r="G15" s="17">
        <v>45962</v>
      </c>
      <c r="H15" s="18">
        <f t="shared" si="1"/>
        <v>5</v>
      </c>
      <c r="I15" s="19">
        <v>120</v>
      </c>
      <c r="J15" s="21">
        <f t="shared" si="2"/>
        <v>600</v>
      </c>
    </row>
    <row r="16" spans="1:10" ht="23.25" customHeight="1" x14ac:dyDescent="0.3">
      <c r="B16" s="12">
        <v>6</v>
      </c>
      <c r="C16" s="37" t="s">
        <v>29</v>
      </c>
      <c r="D16" s="37"/>
      <c r="E16" s="12" t="s">
        <v>30</v>
      </c>
      <c r="F16" s="15" t="str">
        <f t="shared" si="0"/>
        <v>Eng. Mahmoud Ragab</v>
      </c>
      <c r="G16" s="17">
        <v>45962</v>
      </c>
      <c r="H16" s="18">
        <f t="shared" si="1"/>
        <v>0</v>
      </c>
      <c r="I16" s="19">
        <v>100</v>
      </c>
      <c r="J16" s="21">
        <f t="shared" si="2"/>
        <v>0</v>
      </c>
    </row>
    <row r="17" spans="1:10" ht="23.25" customHeight="1" x14ac:dyDescent="0.3">
      <c r="J17" s="16">
        <f>SUM(J12:J16)</f>
        <v>10600</v>
      </c>
    </row>
    <row r="18" spans="1:10" ht="33" customHeight="1" x14ac:dyDescent="0.3"/>
    <row r="19" spans="1:10" ht="18.75" customHeight="1" x14ac:dyDescent="0.3">
      <c r="A19" s="39" t="s">
        <v>31</v>
      </c>
      <c r="B19" s="39"/>
      <c r="C19" s="39"/>
      <c r="D19" s="39"/>
      <c r="E19" s="39"/>
      <c r="F19" s="39"/>
      <c r="G19" s="39"/>
      <c r="H19" s="39"/>
      <c r="I19" s="39"/>
      <c r="J19" s="39"/>
    </row>
    <row r="20" spans="1:10" ht="8.25" customHeight="1" x14ac:dyDescent="0.3"/>
    <row r="21" spans="1:10" ht="18" customHeight="1" x14ac:dyDescent="0.3">
      <c r="B21" s="43" t="s">
        <v>47</v>
      </c>
      <c r="C21" s="43"/>
      <c r="D21" s="3" t="s">
        <v>32</v>
      </c>
      <c r="E21" s="10"/>
      <c r="F21" s="1"/>
    </row>
    <row r="22" spans="1:10" ht="15" customHeight="1" x14ac:dyDescent="0.3"/>
    <row r="23" spans="1:10" ht="29.25" customHeight="1" x14ac:dyDescent="0.3">
      <c r="B23" s="6" t="s">
        <v>0</v>
      </c>
      <c r="C23" s="7" t="s">
        <v>20</v>
      </c>
      <c r="D23" s="6" t="s">
        <v>1</v>
      </c>
      <c r="E23" s="40" t="s">
        <v>2</v>
      </c>
      <c r="F23" s="41"/>
      <c r="G23" s="44" t="s">
        <v>3</v>
      </c>
      <c r="H23" s="45"/>
      <c r="I23" s="46"/>
      <c r="J23" s="9" t="s">
        <v>4</v>
      </c>
    </row>
    <row r="24" spans="1:10" ht="21" customHeight="1" x14ac:dyDescent="0.3">
      <c r="B24" s="13">
        <v>45962</v>
      </c>
      <c r="C24" s="12" t="s">
        <v>28</v>
      </c>
      <c r="D24" s="12" t="s">
        <v>37</v>
      </c>
      <c r="E24" s="37" t="s">
        <v>39</v>
      </c>
      <c r="F24" s="37"/>
      <c r="G24" s="47" t="s">
        <v>38</v>
      </c>
      <c r="H24" s="47"/>
      <c r="I24" s="47"/>
      <c r="J24" s="12">
        <v>2</v>
      </c>
    </row>
    <row r="25" spans="1:10" ht="21" customHeight="1" x14ac:dyDescent="0.3">
      <c r="B25" s="13">
        <v>45963</v>
      </c>
      <c r="C25" s="12" t="s">
        <v>28</v>
      </c>
      <c r="D25" s="12" t="s">
        <v>37</v>
      </c>
      <c r="E25" s="37" t="s">
        <v>39</v>
      </c>
      <c r="F25" s="37"/>
      <c r="G25" s="47" t="s">
        <v>38</v>
      </c>
      <c r="H25" s="47"/>
      <c r="I25" s="47"/>
      <c r="J25" s="12">
        <v>3</v>
      </c>
    </row>
    <row r="26" spans="1:10" ht="22.8" customHeight="1" x14ac:dyDescent="0.3">
      <c r="B26" s="13">
        <v>45964</v>
      </c>
      <c r="C26" s="12" t="s">
        <v>24</v>
      </c>
      <c r="D26" s="12" t="s">
        <v>37</v>
      </c>
      <c r="E26" s="37" t="s">
        <v>40</v>
      </c>
      <c r="F26" s="37"/>
      <c r="G26" s="37" t="s">
        <v>44</v>
      </c>
      <c r="H26" s="37"/>
      <c r="I26" s="37"/>
      <c r="J26" s="12">
        <v>2</v>
      </c>
    </row>
    <row r="27" spans="1:10" ht="34.799999999999997" customHeight="1" x14ac:dyDescent="0.3">
      <c r="B27" s="13">
        <v>45965</v>
      </c>
      <c r="C27" s="14" t="s">
        <v>24</v>
      </c>
      <c r="D27" s="12" t="s">
        <v>37</v>
      </c>
      <c r="E27" s="37" t="s">
        <v>41</v>
      </c>
      <c r="F27" s="37"/>
      <c r="G27" s="47" t="s">
        <v>43</v>
      </c>
      <c r="H27" s="47"/>
      <c r="I27" s="47"/>
      <c r="J27" s="12">
        <v>6</v>
      </c>
    </row>
    <row r="28" spans="1:10" ht="48.6" customHeight="1" x14ac:dyDescent="0.3">
      <c r="B28" s="13">
        <v>45966</v>
      </c>
      <c r="C28" s="14" t="s">
        <v>24</v>
      </c>
      <c r="D28" s="12" t="s">
        <v>37</v>
      </c>
      <c r="E28" s="37" t="s">
        <v>33</v>
      </c>
      <c r="F28" s="37"/>
      <c r="G28" s="48" t="s">
        <v>45</v>
      </c>
      <c r="H28" s="48"/>
      <c r="I28" s="48"/>
      <c r="J28" s="12">
        <v>7</v>
      </c>
    </row>
    <row r="29" spans="1:10" ht="31.2" customHeight="1" x14ac:dyDescent="0.3">
      <c r="B29" s="13">
        <v>45967</v>
      </c>
      <c r="C29" s="14" t="s">
        <v>24</v>
      </c>
      <c r="D29" s="12" t="s">
        <v>37</v>
      </c>
      <c r="E29" s="37" t="s">
        <v>33</v>
      </c>
      <c r="F29" s="37"/>
      <c r="G29" s="47" t="s">
        <v>42</v>
      </c>
      <c r="H29" s="47"/>
      <c r="I29" s="47"/>
      <c r="J29" s="12">
        <v>2</v>
      </c>
    </row>
    <row r="30" spans="1:10" ht="31.2" customHeight="1" x14ac:dyDescent="0.3">
      <c r="B30" s="13">
        <v>45968</v>
      </c>
      <c r="C30" s="14"/>
      <c r="D30" s="12"/>
      <c r="E30" s="37" t="s">
        <v>33</v>
      </c>
      <c r="F30" s="37"/>
      <c r="G30" s="29"/>
      <c r="H30" s="29"/>
      <c r="I30" s="29"/>
      <c r="J30" s="12"/>
    </row>
    <row r="31" spans="1:10" ht="31.2" customHeight="1" x14ac:dyDescent="0.3">
      <c r="B31" s="13">
        <v>45969</v>
      </c>
      <c r="C31" s="14"/>
      <c r="D31" s="12"/>
      <c r="E31" s="30"/>
      <c r="F31" s="30"/>
      <c r="G31" s="29"/>
      <c r="H31" s="29"/>
      <c r="I31" s="29"/>
      <c r="J31" s="12"/>
    </row>
    <row r="32" spans="1:10" ht="31.2" customHeight="1" x14ac:dyDescent="0.3">
      <c r="B32" s="13">
        <v>45970</v>
      </c>
      <c r="C32" s="14"/>
      <c r="D32" s="12"/>
      <c r="E32" s="30"/>
      <c r="F32" s="30"/>
      <c r="G32" s="29"/>
      <c r="H32" s="29"/>
      <c r="I32" s="29"/>
      <c r="J32" s="12"/>
    </row>
    <row r="33" spans="2:10" ht="31.2" customHeight="1" x14ac:dyDescent="0.3">
      <c r="B33" s="13">
        <v>45971</v>
      </c>
      <c r="C33" s="14"/>
      <c r="D33" s="12"/>
      <c r="E33" s="30"/>
      <c r="F33" s="30"/>
      <c r="G33" s="29"/>
      <c r="H33" s="29"/>
      <c r="I33" s="29"/>
      <c r="J33" s="12"/>
    </row>
    <row r="34" spans="2:10" ht="31.2" customHeight="1" x14ac:dyDescent="0.3">
      <c r="B34" s="13">
        <v>45972</v>
      </c>
      <c r="C34" s="14"/>
      <c r="D34" s="12"/>
      <c r="E34" s="30"/>
      <c r="F34" s="30"/>
      <c r="G34" s="29"/>
      <c r="H34" s="29"/>
      <c r="I34" s="29"/>
      <c r="J34" s="12"/>
    </row>
    <row r="35" spans="2:10" ht="31.2" customHeight="1" x14ac:dyDescent="0.3">
      <c r="B35" s="13">
        <v>45973</v>
      </c>
      <c r="C35" s="14"/>
      <c r="D35" s="12"/>
      <c r="E35" s="30"/>
      <c r="F35" s="30"/>
      <c r="G35" s="29"/>
      <c r="H35" s="29"/>
      <c r="I35" s="29"/>
      <c r="J35" s="12"/>
    </row>
    <row r="36" spans="2:10" ht="31.2" customHeight="1" x14ac:dyDescent="0.3">
      <c r="B36" s="13">
        <v>45974</v>
      </c>
      <c r="C36" s="14"/>
      <c r="D36" s="12"/>
      <c r="E36" s="30"/>
      <c r="F36" s="30"/>
      <c r="G36" s="29"/>
      <c r="H36" s="29"/>
      <c r="I36" s="29"/>
      <c r="J36" s="12"/>
    </row>
    <row r="37" spans="2:10" ht="31.2" customHeight="1" x14ac:dyDescent="0.3">
      <c r="B37" s="13">
        <v>45975</v>
      </c>
      <c r="C37" s="14" t="s">
        <v>24</v>
      </c>
      <c r="D37" s="12" t="s">
        <v>37</v>
      </c>
      <c r="E37" s="31"/>
      <c r="F37" s="31"/>
      <c r="G37" s="32"/>
      <c r="H37" s="32"/>
      <c r="I37" s="32"/>
      <c r="J37" s="12">
        <v>7</v>
      </c>
    </row>
    <row r="38" spans="2:10" ht="31.2" customHeight="1" x14ac:dyDescent="0.3">
      <c r="B38" s="13">
        <v>45976</v>
      </c>
      <c r="C38" s="14" t="s">
        <v>24</v>
      </c>
      <c r="D38" s="12" t="s">
        <v>37</v>
      </c>
      <c r="E38" s="31"/>
      <c r="F38" s="31"/>
      <c r="G38" s="32"/>
      <c r="H38" s="32"/>
      <c r="I38" s="32"/>
      <c r="J38" s="12">
        <v>6</v>
      </c>
    </row>
    <row r="39" spans="2:10" ht="46.2" customHeight="1" x14ac:dyDescent="0.3">
      <c r="B39" s="13">
        <v>45977</v>
      </c>
      <c r="C39" s="14" t="s">
        <v>24</v>
      </c>
      <c r="D39" s="12" t="s">
        <v>37</v>
      </c>
      <c r="E39" s="33" t="s">
        <v>49</v>
      </c>
      <c r="F39" s="34"/>
      <c r="G39" s="35" t="s">
        <v>50</v>
      </c>
      <c r="H39" s="35"/>
      <c r="I39" s="35"/>
      <c r="J39" s="12">
        <v>5</v>
      </c>
    </row>
    <row r="40" spans="2:10" ht="31.2" customHeight="1" x14ac:dyDescent="0.3">
      <c r="B40" s="13">
        <v>45978</v>
      </c>
      <c r="C40" s="14"/>
      <c r="D40" s="12"/>
      <c r="E40" s="28"/>
      <c r="F40" s="28"/>
      <c r="G40" s="29"/>
      <c r="H40" s="29"/>
      <c r="I40" s="29"/>
      <c r="J40" s="12"/>
    </row>
    <row r="41" spans="2:10" ht="31.2" customHeight="1" x14ac:dyDescent="0.3">
      <c r="B41" s="13">
        <v>45979</v>
      </c>
      <c r="C41" s="14"/>
      <c r="D41" s="12"/>
      <c r="E41" s="28"/>
      <c r="F41" s="28"/>
      <c r="G41" s="29"/>
      <c r="H41" s="29"/>
      <c r="I41" s="29"/>
      <c r="J41" s="12"/>
    </row>
    <row r="42" spans="2:10" ht="31.2" customHeight="1" x14ac:dyDescent="0.3">
      <c r="B42" s="13">
        <v>45980</v>
      </c>
      <c r="C42" s="14"/>
      <c r="D42" s="12"/>
      <c r="E42" s="28"/>
      <c r="F42" s="28"/>
      <c r="G42" s="29"/>
      <c r="H42" s="29"/>
      <c r="I42" s="29"/>
      <c r="J42" s="12"/>
    </row>
    <row r="43" spans="2:10" ht="31.2" customHeight="1" x14ac:dyDescent="0.3">
      <c r="B43" s="13">
        <v>45981</v>
      </c>
      <c r="C43" s="14"/>
      <c r="D43" s="12"/>
      <c r="E43" s="28"/>
      <c r="F43" s="28"/>
      <c r="G43" s="29"/>
      <c r="H43" s="29"/>
      <c r="I43" s="29"/>
      <c r="J43" s="12"/>
    </row>
    <row r="44" spans="2:10" ht="31.2" customHeight="1" x14ac:dyDescent="0.3">
      <c r="B44" s="13">
        <v>45982</v>
      </c>
      <c r="C44" s="14" t="s">
        <v>24</v>
      </c>
      <c r="D44" s="12" t="s">
        <v>37</v>
      </c>
      <c r="E44" s="28"/>
      <c r="F44" s="28"/>
      <c r="G44" s="29"/>
      <c r="H44" s="29"/>
      <c r="I44" s="29"/>
      <c r="J44" s="12">
        <v>7</v>
      </c>
    </row>
    <row r="45" spans="2:10" ht="31.2" customHeight="1" x14ac:dyDescent="0.3">
      <c r="B45" s="13">
        <v>45983</v>
      </c>
      <c r="C45" s="14" t="s">
        <v>24</v>
      </c>
      <c r="D45" s="12" t="s">
        <v>37</v>
      </c>
      <c r="E45" s="28"/>
      <c r="F45" s="28"/>
      <c r="G45" s="29"/>
      <c r="H45" s="29"/>
      <c r="I45" s="29"/>
      <c r="J45" s="12">
        <v>6</v>
      </c>
    </row>
    <row r="46" spans="2:10" ht="31.2" customHeight="1" x14ac:dyDescent="0.3">
      <c r="B46" s="13">
        <v>45984</v>
      </c>
      <c r="C46" s="14"/>
      <c r="D46" s="12"/>
      <c r="E46" s="28"/>
      <c r="F46" s="28"/>
      <c r="G46" s="29"/>
      <c r="H46" s="29"/>
      <c r="I46" s="29"/>
      <c r="J46" s="12"/>
    </row>
    <row r="47" spans="2:10" ht="31.2" customHeight="1" x14ac:dyDescent="0.3">
      <c r="B47" s="13">
        <v>45985</v>
      </c>
      <c r="C47" s="14"/>
      <c r="D47" s="12"/>
      <c r="E47" s="28"/>
      <c r="F47" s="28"/>
      <c r="G47" s="29"/>
      <c r="H47" s="29"/>
      <c r="I47" s="29"/>
      <c r="J47" s="12"/>
    </row>
    <row r="48" spans="2:10" ht="31.2" customHeight="1" x14ac:dyDescent="0.3">
      <c r="B48" s="13">
        <v>45986</v>
      </c>
      <c r="C48" s="14"/>
      <c r="D48" s="12"/>
      <c r="E48" s="28"/>
      <c r="F48" s="28"/>
      <c r="G48" s="29"/>
      <c r="H48" s="29"/>
      <c r="I48" s="29"/>
      <c r="J48" s="12"/>
    </row>
    <row r="49" spans="2:10" ht="31.2" customHeight="1" x14ac:dyDescent="0.3">
      <c r="B49" s="13">
        <v>45987</v>
      </c>
      <c r="C49" s="14"/>
      <c r="D49" s="12"/>
      <c r="E49" s="28"/>
      <c r="F49" s="28"/>
      <c r="G49" s="29"/>
      <c r="H49" s="29"/>
      <c r="I49" s="29"/>
      <c r="J49" s="12"/>
    </row>
    <row r="50" spans="2:10" ht="31.2" customHeight="1" x14ac:dyDescent="0.3">
      <c r="B50" s="13">
        <v>45988</v>
      </c>
      <c r="C50" s="14"/>
      <c r="D50" s="12"/>
      <c r="E50" s="28"/>
      <c r="F50" s="28"/>
      <c r="G50" s="29"/>
      <c r="H50" s="29"/>
      <c r="I50" s="29"/>
      <c r="J50" s="12"/>
    </row>
    <row r="51" spans="2:10" ht="31.2" customHeight="1" x14ac:dyDescent="0.3">
      <c r="B51" s="13">
        <v>45989</v>
      </c>
      <c r="C51" s="14"/>
      <c r="D51" s="12"/>
      <c r="E51" s="28"/>
      <c r="F51" s="28"/>
      <c r="G51" s="29"/>
      <c r="H51" s="29"/>
      <c r="I51" s="29"/>
      <c r="J51" s="12"/>
    </row>
    <row r="52" spans="2:10" ht="31.2" customHeight="1" x14ac:dyDescent="0.3">
      <c r="B52" s="13">
        <v>45990</v>
      </c>
      <c r="C52" s="14"/>
      <c r="D52" s="12"/>
      <c r="E52" s="28"/>
      <c r="F52" s="28"/>
      <c r="G52" s="29"/>
      <c r="H52" s="29"/>
      <c r="I52" s="29"/>
      <c r="J52" s="12"/>
    </row>
    <row r="53" spans="2:10" ht="48.6" customHeight="1" x14ac:dyDescent="0.3">
      <c r="B53" s="13">
        <v>45991</v>
      </c>
      <c r="C53" s="14" t="s">
        <v>24</v>
      </c>
      <c r="D53" s="12" t="s">
        <v>37</v>
      </c>
      <c r="E53" s="37" t="s">
        <v>33</v>
      </c>
      <c r="F53" s="37"/>
      <c r="G53" s="47" t="s">
        <v>46</v>
      </c>
      <c r="H53" s="47"/>
      <c r="I53" s="47"/>
      <c r="J53" s="12">
        <v>2</v>
      </c>
    </row>
    <row r="54" spans="2:10" ht="22.5" customHeight="1" x14ac:dyDescent="0.3">
      <c r="B54" s="8"/>
      <c r="C54" s="51" t="s">
        <v>14</v>
      </c>
      <c r="D54" s="51"/>
      <c r="E54" s="51"/>
      <c r="F54" s="51"/>
      <c r="G54" s="51"/>
      <c r="H54" s="51"/>
      <c r="I54" s="51"/>
      <c r="J54" s="11">
        <f>SUM(J24:J53)</f>
        <v>55</v>
      </c>
    </row>
    <row r="55" spans="2:10" ht="27" customHeight="1" x14ac:dyDescent="0.3"/>
    <row r="56" spans="2:10" x14ac:dyDescent="0.3">
      <c r="B56" s="52" t="s">
        <v>15</v>
      </c>
      <c r="C56" s="52"/>
      <c r="D56" s="52"/>
      <c r="E56" s="52"/>
      <c r="F56" s="52"/>
      <c r="H56" s="53" t="s">
        <v>16</v>
      </c>
      <c r="I56" s="53"/>
      <c r="J56" s="53"/>
    </row>
    <row r="57" spans="2:10" ht="15.75" customHeight="1" x14ac:dyDescent="0.3">
      <c r="B57" s="49" t="str">
        <f>$D$21</f>
        <v>Eng. Mahmoud Ragab</v>
      </c>
      <c r="C57" s="49"/>
      <c r="D57" s="49"/>
      <c r="E57" s="49"/>
      <c r="F57" s="49"/>
      <c r="H57" s="50" t="s">
        <v>13</v>
      </c>
      <c r="I57" s="50"/>
      <c r="J57" s="50"/>
    </row>
  </sheetData>
  <mergeCells count="36">
    <mergeCell ref="B57:F57"/>
    <mergeCell ref="H57:J57"/>
    <mergeCell ref="C54:I54"/>
    <mergeCell ref="B56:F56"/>
    <mergeCell ref="H56:J56"/>
    <mergeCell ref="E53:F53"/>
    <mergeCell ref="G53:I53"/>
    <mergeCell ref="E24:F24"/>
    <mergeCell ref="G24:I24"/>
    <mergeCell ref="E25:F25"/>
    <mergeCell ref="G25:I25"/>
    <mergeCell ref="E26:F26"/>
    <mergeCell ref="G26:I26"/>
    <mergeCell ref="E27:F27"/>
    <mergeCell ref="G27:I27"/>
    <mergeCell ref="E28:F28"/>
    <mergeCell ref="G28:I28"/>
    <mergeCell ref="E29:F29"/>
    <mergeCell ref="G29:I29"/>
    <mergeCell ref="E30:F30"/>
    <mergeCell ref="A2:J2"/>
    <mergeCell ref="A6:J6"/>
    <mergeCell ref="C10:D10"/>
    <mergeCell ref="C11:D11"/>
    <mergeCell ref="C8:J8"/>
    <mergeCell ref="E39:F39"/>
    <mergeCell ref="G39:I39"/>
    <mergeCell ref="C12:D12"/>
    <mergeCell ref="C13:D13"/>
    <mergeCell ref="C14:D14"/>
    <mergeCell ref="C15:D15"/>
    <mergeCell ref="C16:D16"/>
    <mergeCell ref="A19:J19"/>
    <mergeCell ref="B21:C21"/>
    <mergeCell ref="E23:F23"/>
    <mergeCell ref="G23:I23"/>
  </mergeCells>
  <dataValidations count="1">
    <dataValidation type="list" allowBlank="1" showInputMessage="1" showErrorMessage="1" sqref="C26:C53">
      <formula1>Categories</formula1>
    </dataValidation>
  </dataValidations>
  <printOptions horizontalCentered="1" verticalCentered="1"/>
  <pageMargins left="0.51181102362204722" right="0.51181102362204722" top="0" bottom="0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QPMC (Sep-25)</vt:lpstr>
      <vt:lpstr>Categories</vt:lpstr>
      <vt:lpstr>'QPMC (Sep-25)'!Print_Titles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Mahmoud Khaled</cp:lastModifiedBy>
  <cp:lastPrinted>2025-11-14T12:27:02Z</cp:lastPrinted>
  <dcterms:created xsi:type="dcterms:W3CDTF">2025-09-01T12:45:25Z</dcterms:created>
  <dcterms:modified xsi:type="dcterms:W3CDTF">2025-11-25T20:41:43Z</dcterms:modified>
</cp:coreProperties>
</file>